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\Desktop\test\results\"/>
    </mc:Choice>
  </mc:AlternateContent>
  <xr:revisionPtr revIDLastSave="0" documentId="13_ncr:1_{F278E53A-439D-4C39-89C4-32F9957BA3C9}" xr6:coauthVersionLast="47" xr6:coauthVersionMax="47" xr10:uidLastSave="{00000000-0000-0000-0000-000000000000}"/>
  <bookViews>
    <workbookView xWindow="-98" yWindow="-98" windowWidth="20715" windowHeight="13155" xr2:uid="{E8877245-943F-49FA-9186-10E0656A4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3" i="1" l="1"/>
  <c r="K22" i="1"/>
  <c r="K28" i="1"/>
  <c r="K29" i="1"/>
  <c r="K11" i="1"/>
  <c r="K10" i="1"/>
  <c r="K36" i="1"/>
  <c r="K35" i="1"/>
  <c r="K17" i="1"/>
  <c r="K16" i="1"/>
  <c r="K5" i="1"/>
  <c r="K4" i="1"/>
</calcChain>
</file>

<file path=xl/sharedStrings.xml><?xml version="1.0" encoding="utf-8"?>
<sst xmlns="http://schemas.openxmlformats.org/spreadsheetml/2006/main" count="31" uniqueCount="11">
  <si>
    <t xml:space="preserve">Dice score </t>
  </si>
  <si>
    <t>IoU</t>
  </si>
  <si>
    <t>img</t>
  </si>
  <si>
    <t>mean</t>
  </si>
  <si>
    <t>84 images - 100 epoches - 0 fold</t>
  </si>
  <si>
    <t>84 images - 60 epoches - 5 folds</t>
  </si>
  <si>
    <t>42 images - 100 epochs - 0 fold</t>
  </si>
  <si>
    <t>21 images - 100 epochs - 0 fold</t>
  </si>
  <si>
    <t>84 images - 100 epoches - 5 folds</t>
  </si>
  <si>
    <t xml:space="preserve">Comparison results different strategies </t>
  </si>
  <si>
    <t>168 images - 100 epoches - 0 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</si>
</sst>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/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400" b="1"/>
              <a:t>mean Dice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Sheet1!$A$14</c:f>
              <c:strCache>
                <c:ptCount val="1"/>
                <c:pt idx="0">
                  <c:v>84 images - 60 epoches - 5 folds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Sheet1!$K$16</c:f>
              <c:numCache>
                <c:formatCode>General</c:formatCode>
                <c:ptCount val="1"/>
                <c:pt idx="0">
                  <c:v>0.49720499538580254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96-4AA0-A3DA-5F8D0200C8B8}"/>
            </c:ext>
          </c:extLst>
        </c:ser>
        <c:ser>
          <c:idx val="1"/>
          <c:order val="1"/>
          <c:tx>
            <c:strRef>
              <c:f>Sheet1!$A$8</c:f>
              <c:strCache>
                <c:ptCount val="1"/>
                <c:pt idx="0">
                  <c:v>84 images - 100 epoches - 5 folds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</c:f>
              <c:strCache>
                <c:ptCount val="1"/>
                <c:pt idx="0">
                  <c:v>Comparison results different strategies </c:v>
                </c:pt>
              </c:strCache>
            </c:strRef>
          </c:cat>
          <c:val>
            <c:numRef>
              <c:f>Sheet1!$K$10</c:f>
              <c:numCache>
                <c:formatCode>General</c:formatCode>
                <c:ptCount val="1"/>
                <c:pt idx="0">
                  <c:v>0.52367577727774195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96-4AA0-A3DA-5F8D0200C8B8}"/>
            </c:ext>
          </c:extLst>
        </c:ser>
        <c:ser>
          <c:idx val="3"/>
          <c:order val="2"/>
          <c:tx>
            <c:strRef>
              <c:f>Sheet1!$A$20</c:f>
              <c:strCache>
                <c:ptCount val="1"/>
                <c:pt idx="0">
                  <c:v>168 images - 100 epoches - 0 fold</c:v>
                </c:pt>
              </c:strCache>
            </c:strRef>
          </c:tx>
          <c:spPr>
            <a:solidFill>
              <a:schemeClr val="accent1">
                <a:tint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Sheet1!$K$22</c:f>
              <c:numCache>
                <c:formatCode>General</c:formatCode>
                <c:ptCount val="1"/>
                <c:pt idx="0">
                  <c:v>0.53773166554375273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96-4AA0-A3DA-5F8D0200C8B8}"/>
            </c:ext>
          </c:extLst>
        </c:ser>
        <c:ser>
          <c:idx val="0"/>
          <c:order val="3"/>
          <c:tx>
            <c:strRef>
              <c:f>Sheet1!$A$2</c:f>
              <c:strCache>
                <c:ptCount val="1"/>
                <c:pt idx="0">
                  <c:v>84 images - 100 epoches - 0 fold</c:v>
                </c:pt>
              </c:strCache>
            </c:strRef>
          </c:tx>
          <c:spPr>
            <a:solidFill>
              <a:schemeClr val="accent1">
                <a:shade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</c:f>
              <c:strCache>
                <c:ptCount val="1"/>
                <c:pt idx="0">
                  <c:v>Comparison results different strategies </c:v>
                </c:pt>
              </c:strCache>
            </c:strRef>
          </c:cat>
          <c:val>
            <c:numRef>
              <c:f>Sheet1!$K$4</c:f>
              <c:numCache>
                <c:formatCode>General</c:formatCode>
                <c:ptCount val="1"/>
                <c:pt idx="0">
                  <c:v>0.51066604104885227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96-4AA0-A3DA-5F8D0200C8B8}"/>
            </c:ext>
          </c:extLst>
        </c:ser>
        <c:ser>
          <c:idx val="4"/>
          <c:order val="4"/>
          <c:tx>
            <c:strRef>
              <c:f>Sheet1!$A$26</c:f>
              <c:strCache>
                <c:ptCount val="1"/>
                <c:pt idx="0">
                  <c:v>42 images - 100 epochs - 0 fold</c:v>
                </c:pt>
              </c:strCache>
            </c:strRef>
          </c:tx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Sheet1!$K$28</c:f>
              <c:numCache>
                <c:formatCode>General</c:formatCode>
                <c:ptCount val="1"/>
                <c:pt idx="0">
                  <c:v>0.38279040524905245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96-4AA0-A3DA-5F8D0200C8B8}"/>
            </c:ext>
          </c:extLst>
        </c:ser>
        <c:ser>
          <c:idx val="5"/>
          <c:order val="5"/>
          <c:tx>
            <c:strRef>
              <c:f>Sheet1!$A$33</c:f>
              <c:strCache>
                <c:ptCount val="1"/>
                <c:pt idx="0">
                  <c:v>21 images - 100 epochs - 0 fold</c:v>
                </c:pt>
              </c:strCache>
            </c:strRef>
          </c:tx>
          <c:spPr>
            <a:solidFill>
              <a:schemeClr val="accent1">
                <a:tint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Sheet1!$K$35</c:f>
              <c:numCache>
                <c:formatCode>General</c:formatCode>
                <c:ptCount val="1"/>
                <c:pt idx="0">
                  <c:v>0.25715914475446489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96-4AA0-A3DA-5F8D0200C8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4193551"/>
        <c:axId val="1054206031"/>
      </c:barChart>
      <c:catAx>
        <c:axId val="105419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4206031"/>
        <c:crosses val="autoZero"/>
        <c:auto val="1"/>
        <c:lblAlgn val="ctr"/>
        <c:lblOffset val="100"/>
        <c:noMultiLvlLbl val="0"/>
      </c:catAx>
      <c:valAx>
        <c:axId val="105420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5419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400" b="1"/>
              <a:t>mean IoU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Sheet1!$A$14</c:f>
              <c:strCache>
                <c:ptCount val="1"/>
                <c:pt idx="0">
                  <c:v>84 images - 60 epoches - 5 folds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Sheet1!$K$17</c:f>
              <c:numCache>
                <c:formatCode>General</c:formatCode>
                <c:ptCount val="1"/>
                <c:pt idx="0">
                  <c:v>0.33870211688459223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76-4664-B69F-558A327BA8FA}"/>
            </c:ext>
          </c:extLst>
        </c:ser>
        <c:ser>
          <c:idx val="1"/>
          <c:order val="1"/>
          <c:tx>
            <c:strRef>
              <c:f>Sheet1!$A$8</c:f>
              <c:strCache>
                <c:ptCount val="1"/>
                <c:pt idx="0">
                  <c:v>84 images - 100 epoches - 5 folds</c:v>
                </c:pt>
              </c:strCache>
            </c:strRef>
          </c:tx>
          <c:spPr>
            <a:solidFill>
              <a:schemeClr val="accent3">
                <a:shade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</c:f>
              <c:strCache>
                <c:ptCount val="1"/>
                <c:pt idx="0">
                  <c:v>Comparison results different strategies </c:v>
                </c:pt>
              </c:strCache>
            </c:strRef>
          </c:cat>
          <c:val>
            <c:numRef>
              <c:f>Sheet1!$K$11</c:f>
              <c:numCache>
                <c:formatCode>General</c:formatCode>
                <c:ptCount val="1"/>
                <c:pt idx="0">
                  <c:v>0.36331400779873135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76-4664-B69F-558A327BA8FA}"/>
            </c:ext>
          </c:extLst>
        </c:ser>
        <c:ser>
          <c:idx val="3"/>
          <c:order val="2"/>
          <c:tx>
            <c:strRef>
              <c:f>Sheet1!$A$20</c:f>
              <c:strCache>
                <c:ptCount val="1"/>
                <c:pt idx="0">
                  <c:v>168 images - 100 epoches - 0 fold</c:v>
                </c:pt>
              </c:strCache>
            </c:strRef>
          </c:tx>
          <c:spPr>
            <a:solidFill>
              <a:schemeClr val="accent3">
                <a:tint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Sheet1!$K$23</c:f>
              <c:numCache>
                <c:formatCode>General</c:formatCode>
                <c:ptCount val="1"/>
                <c:pt idx="0">
                  <c:v>0.37621190181443109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76-4664-B69F-558A327BA8FA}"/>
            </c:ext>
          </c:extLst>
        </c:ser>
        <c:ser>
          <c:idx val="0"/>
          <c:order val="3"/>
          <c:tx>
            <c:strRef>
              <c:f>Sheet1!$A$2</c:f>
              <c:strCache>
                <c:ptCount val="1"/>
                <c:pt idx="0">
                  <c:v>84 images - 100 epoches - 0 fold</c:v>
                </c:pt>
              </c:strCache>
            </c:strRef>
          </c:tx>
          <c:spPr>
            <a:solidFill>
              <a:schemeClr val="accent3">
                <a:shade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</c:f>
              <c:strCache>
                <c:ptCount val="1"/>
                <c:pt idx="0">
                  <c:v>Comparison results different strategies </c:v>
                </c:pt>
              </c:strCache>
            </c:strRef>
          </c:cat>
          <c:val>
            <c:numRef>
              <c:f>Sheet1!$K$5</c:f>
              <c:numCache>
                <c:formatCode>General</c:formatCode>
                <c:ptCount val="1"/>
                <c:pt idx="0">
                  <c:v>0.35098482820007837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6-4664-B69F-558A327BA8FA}"/>
            </c:ext>
          </c:extLst>
        </c:ser>
        <c:ser>
          <c:idx val="4"/>
          <c:order val="4"/>
          <c:tx>
            <c:strRef>
              <c:f>Sheet1!$A$26</c:f>
              <c:strCache>
                <c:ptCount val="1"/>
                <c:pt idx="0">
                  <c:v>42 images - 100 epochs - 0 fold</c:v>
                </c:pt>
              </c:strCache>
            </c:strRef>
          </c:tx>
          <c:spPr>
            <a:solidFill>
              <a:schemeClr val="accent3">
                <a:tint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Sheet1!$K$29</c:f>
              <c:numCache>
                <c:formatCode>General</c:formatCode>
                <c:ptCount val="1"/>
                <c:pt idx="0">
                  <c:v>0.24493525672743321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76-4664-B69F-558A327BA8FA}"/>
            </c:ext>
          </c:extLst>
        </c:ser>
        <c:ser>
          <c:idx val="5"/>
          <c:order val="5"/>
          <c:tx>
            <c:strRef>
              <c:f>Sheet1!$A$33</c:f>
              <c:strCache>
                <c:ptCount val="1"/>
                <c:pt idx="0">
                  <c:v>21 images - 100 epochs - 0 fold</c:v>
                </c:pt>
              </c:strCache>
            </c:strRef>
          </c:tx>
          <c:spPr>
            <a:solidFill>
              <a:schemeClr val="accent3">
                <a:tint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Sheet1!$K$36</c:f>
              <c:numCache>
                <c:formatCode>General</c:formatCode>
                <c:ptCount val="1"/>
                <c:pt idx="0">
                  <c:v>0.14921973531774105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76-4664-B69F-558A327BA8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4193551"/>
        <c:axId val="1054206031"/>
      </c:barChart>
      <c:catAx>
        <c:axId val="105419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4206031"/>
        <c:crosses val="autoZero"/>
        <c:auto val="1"/>
        <c:lblAlgn val="ctr"/>
        <c:lblOffset val="100"/>
        <c:noMultiLvlLbl val="0"/>
      </c:catAx>
      <c:valAx>
        <c:axId val="105420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5419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200916</xdr:colOff>
      <xdr:row>0</xdr:row>
      <xdr:rowOff>336201</xdr:rowOff>
    </xdr:from>
    <xdr:to>
      <xdr:col>25</xdr:col>
      <xdr:colOff>334862</xdr:colOff>
      <xdr:row>29</xdr:row>
      <xdr:rowOff>37206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386307-9D3F-062A-133A-337E7D2EA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558107</xdr:colOff>
      <xdr:row>0</xdr:row>
      <xdr:rowOff>349747</xdr:rowOff>
    </xdr:from>
    <xdr:to>
      <xdr:col>37</xdr:col>
      <xdr:colOff>44650</xdr:colOff>
      <xdr:row>29</xdr:row>
      <xdr:rowOff>50752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A8961-6DA1-45C0-ABD3-0510CEB8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3D33-CA4A-42C8-B666-8667F36FFD9A}">
  <dimension ref="A1:K36"/>
  <sheetViews>
    <sheetView tabSelected="1" zoomScale="42" workbookViewId="0">
      <selection activeCell="AE34" sqref="AE34"/>
    </sheetView>
  </sheetViews>
  <sheetFormatPr defaultRowHeight="14.25" x14ac:dyDescent="0.45"/>
  <cols>
    <col min="1" max="1" width="12.53125" customWidth="1"/>
  </cols>
  <sheetData>
    <row r="1" spans="1:11" ht="32.25" thickBot="1" x14ac:dyDescent="1.05">
      <c r="A1" s="9" t="s">
        <v>9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18" x14ac:dyDescent="0.55000000000000004">
      <c r="A2" s="12" t="s">
        <v>4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14.65" thickBot="1" x14ac:dyDescent="0.5">
      <c r="A3" s="2" t="s">
        <v>2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5" t="s">
        <v>3</v>
      </c>
    </row>
    <row r="4" spans="1:11" x14ac:dyDescent="0.45">
      <c r="A4" s="3" t="s">
        <v>0</v>
      </c>
      <c r="B4" s="6">
        <v>0.51629999999999998</v>
      </c>
      <c r="C4" s="6">
        <v>0.58009999999999995</v>
      </c>
      <c r="D4" s="6">
        <v>0.28570000000000001</v>
      </c>
      <c r="E4" s="6">
        <v>0.50180000000000002</v>
      </c>
      <c r="F4" s="6">
        <v>0.65339999999999998</v>
      </c>
      <c r="G4" s="6">
        <v>0.32690000000000002</v>
      </c>
      <c r="H4" s="6">
        <v>0.86370000000000002</v>
      </c>
      <c r="I4" s="6">
        <v>0.58379999999999999</v>
      </c>
      <c r="J4" s="6">
        <v>0.51070000000000004</v>
      </c>
      <c r="K4" s="4">
        <f>GEOMEAN(B4:J4)</f>
        <v>0.51066604104885227</v>
      </c>
    </row>
    <row r="5" spans="1:11" ht="14.65" thickBot="1" x14ac:dyDescent="0.5">
      <c r="A5" s="2" t="s">
        <v>1</v>
      </c>
      <c r="B5" s="7">
        <v>0.34789999999999999</v>
      </c>
      <c r="C5" s="7">
        <v>0.40860000000000002</v>
      </c>
      <c r="D5" s="7">
        <v>0.16669999999999999</v>
      </c>
      <c r="E5" s="7">
        <v>0.33489999999999998</v>
      </c>
      <c r="F5" s="7">
        <v>0.48520000000000002</v>
      </c>
      <c r="G5" s="7">
        <v>0.19539999999999999</v>
      </c>
      <c r="H5" s="7">
        <v>0.7601</v>
      </c>
      <c r="I5" s="7">
        <v>0.41220000000000001</v>
      </c>
      <c r="J5" s="7">
        <v>0.34289999999999998</v>
      </c>
      <c r="K5" s="4">
        <f>GEOMEAN(B5:J5)</f>
        <v>0.35098482820007837</v>
      </c>
    </row>
    <row r="6" spans="1:11" x14ac:dyDescent="0.45">
      <c r="A6" s="8"/>
      <c r="B6" s="6"/>
      <c r="C6" s="6"/>
      <c r="D6" s="6"/>
      <c r="E6" s="6"/>
      <c r="F6" s="6"/>
      <c r="G6" s="6"/>
      <c r="H6" s="6"/>
      <c r="I6" s="6"/>
      <c r="J6" s="6"/>
    </row>
    <row r="7" spans="1:11" x14ac:dyDescent="0.45">
      <c r="A7" s="8"/>
      <c r="B7" s="6"/>
      <c r="C7" s="6"/>
      <c r="D7" s="6"/>
      <c r="E7" s="6"/>
      <c r="F7" s="6"/>
      <c r="G7" s="6"/>
      <c r="H7" s="6"/>
      <c r="I7" s="6"/>
      <c r="J7" s="6"/>
    </row>
    <row r="8" spans="1:11" ht="18" x14ac:dyDescent="0.55000000000000004">
      <c r="A8" s="13" t="s">
        <v>8</v>
      </c>
      <c r="B8" s="13"/>
      <c r="C8" s="13"/>
      <c r="D8" s="13"/>
      <c r="E8" s="13"/>
      <c r="F8" s="13"/>
      <c r="G8" s="13"/>
      <c r="H8" s="13"/>
      <c r="I8" s="13"/>
      <c r="J8" s="13"/>
    </row>
    <row r="9" spans="1:11" ht="14.65" thickBot="1" x14ac:dyDescent="0.5">
      <c r="A9" s="2" t="s">
        <v>2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5" t="s">
        <v>3</v>
      </c>
    </row>
    <row r="10" spans="1:11" x14ac:dyDescent="0.45">
      <c r="A10" s="3" t="s">
        <v>0</v>
      </c>
      <c r="B10" s="6">
        <v>0.5645</v>
      </c>
      <c r="C10" s="6">
        <v>0.57099999999999995</v>
      </c>
      <c r="D10" s="6">
        <v>0.3049</v>
      </c>
      <c r="E10" s="6">
        <v>0.49880000000000002</v>
      </c>
      <c r="F10" s="6">
        <v>0.73450000000000004</v>
      </c>
      <c r="G10" s="6">
        <v>0.35139999999999999</v>
      </c>
      <c r="H10" s="6">
        <v>0.87990000000000002</v>
      </c>
      <c r="I10" s="6">
        <v>0.50139999999999996</v>
      </c>
      <c r="J10" s="6">
        <v>0.53059999999999996</v>
      </c>
      <c r="K10" s="4">
        <f>GEOMEAN(B10:J10)</f>
        <v>0.52367577727774195</v>
      </c>
    </row>
    <row r="11" spans="1:11" ht="14.65" thickBot="1" x14ac:dyDescent="0.5">
      <c r="A11" s="2" t="s">
        <v>1</v>
      </c>
      <c r="B11" s="7">
        <v>0.39319999999999999</v>
      </c>
      <c r="C11" s="7">
        <v>0.39960000000000001</v>
      </c>
      <c r="D11" s="7">
        <v>0.1799</v>
      </c>
      <c r="E11" s="7">
        <v>0.3322</v>
      </c>
      <c r="F11" s="7">
        <v>0.58040000000000003</v>
      </c>
      <c r="G11" s="7">
        <v>0.2132</v>
      </c>
      <c r="H11" s="7">
        <v>0.78559999999999997</v>
      </c>
      <c r="I11" s="7">
        <v>0.33460000000000001</v>
      </c>
      <c r="J11" s="7">
        <v>0.36109999999999998</v>
      </c>
      <c r="K11" s="4">
        <f>GEOMEAN(B11:J11)</f>
        <v>0.36331400779873135</v>
      </c>
    </row>
    <row r="14" spans="1:11" ht="18" x14ac:dyDescent="0.55000000000000004">
      <c r="A14" s="17" t="s">
        <v>5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1" ht="14.65" thickBot="1" x14ac:dyDescent="0.5">
      <c r="A15" s="2" t="s">
        <v>2</v>
      </c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5" t="s">
        <v>3</v>
      </c>
    </row>
    <row r="16" spans="1:11" x14ac:dyDescent="0.45">
      <c r="A16" s="3" t="s">
        <v>0</v>
      </c>
      <c r="B16" s="6">
        <v>0.51490000000000002</v>
      </c>
      <c r="C16" s="6">
        <v>0.52600000000000002</v>
      </c>
      <c r="D16" s="6">
        <v>0.27979999999999999</v>
      </c>
      <c r="E16" s="6">
        <v>0.46539999999999998</v>
      </c>
      <c r="F16" s="6">
        <v>0.71850000000000003</v>
      </c>
      <c r="G16" s="6">
        <v>0.3639</v>
      </c>
      <c r="H16" s="6">
        <v>0.86409999999999998</v>
      </c>
      <c r="I16" s="6">
        <v>0.46260000000000001</v>
      </c>
      <c r="J16" s="6">
        <v>0.50380000000000003</v>
      </c>
      <c r="K16" s="4">
        <f>GEOMEAN(B16:J16)</f>
        <v>0.49720499538580254</v>
      </c>
    </row>
    <row r="17" spans="1:11" ht="14.65" thickBot="1" x14ac:dyDescent="0.5">
      <c r="A17" s="2" t="s">
        <v>1</v>
      </c>
      <c r="B17" s="7">
        <v>0.34670000000000001</v>
      </c>
      <c r="C17" s="7">
        <v>0.3569</v>
      </c>
      <c r="D17" s="7">
        <v>0.16270000000000001</v>
      </c>
      <c r="E17" s="7">
        <v>0.30320000000000003</v>
      </c>
      <c r="F17" s="7">
        <v>0.56069999999999998</v>
      </c>
      <c r="G17" s="7">
        <v>0.22239999999999999</v>
      </c>
      <c r="H17" s="7">
        <v>0.76070000000000004</v>
      </c>
      <c r="I17" s="7">
        <v>0.3009</v>
      </c>
      <c r="J17" s="7">
        <v>0.3367</v>
      </c>
      <c r="K17" s="4">
        <f>GEOMEAN(B17:J17)</f>
        <v>0.33870211688459223</v>
      </c>
    </row>
    <row r="20" spans="1:11" ht="18" x14ac:dyDescent="0.55000000000000004">
      <c r="A20" s="13" t="s">
        <v>10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1" ht="14.65" thickBot="1" x14ac:dyDescent="0.5">
      <c r="A21" s="2" t="s">
        <v>2</v>
      </c>
      <c r="B21" s="1">
        <v>1</v>
      </c>
      <c r="C21" s="1">
        <v>2</v>
      </c>
      <c r="D21" s="1">
        <v>3</v>
      </c>
      <c r="E21" s="1">
        <v>4</v>
      </c>
      <c r="F21" s="1">
        <v>5</v>
      </c>
      <c r="G21" s="1">
        <v>6</v>
      </c>
      <c r="H21" s="1">
        <v>7</v>
      </c>
      <c r="I21" s="1">
        <v>8</v>
      </c>
      <c r="J21" s="1">
        <v>9</v>
      </c>
      <c r="K21" s="5" t="s">
        <v>3</v>
      </c>
    </row>
    <row r="22" spans="1:11" x14ac:dyDescent="0.45">
      <c r="A22" s="3" t="s">
        <v>0</v>
      </c>
      <c r="B22" s="6">
        <v>0.54769999999999996</v>
      </c>
      <c r="C22" s="6">
        <v>0.64700000000000002</v>
      </c>
      <c r="D22" s="6">
        <v>0.33789999999999998</v>
      </c>
      <c r="E22" s="6">
        <v>0.42970000000000003</v>
      </c>
      <c r="F22" s="6">
        <v>0.72619999999999996</v>
      </c>
      <c r="G22" s="6">
        <v>0.4148</v>
      </c>
      <c r="H22" s="6">
        <v>0.86529999999999996</v>
      </c>
      <c r="I22" s="6">
        <v>0.64839999999999998</v>
      </c>
      <c r="J22" s="6">
        <v>0.43230000000000002</v>
      </c>
      <c r="K22" s="4">
        <f>GEOMEAN(B22:J22)</f>
        <v>0.53773166554375273</v>
      </c>
    </row>
    <row r="23" spans="1:11" ht="14.65" thickBot="1" x14ac:dyDescent="0.5">
      <c r="A23" s="2" t="s">
        <v>1</v>
      </c>
      <c r="B23" s="7">
        <v>0.37719999999999998</v>
      </c>
      <c r="C23" s="7">
        <v>0.47820000000000001</v>
      </c>
      <c r="D23" s="7">
        <v>0.20330000000000001</v>
      </c>
      <c r="E23" s="7">
        <v>0.27360000000000001</v>
      </c>
      <c r="F23" s="7">
        <v>0.57010000000000005</v>
      </c>
      <c r="G23" s="7">
        <v>0.26169999999999999</v>
      </c>
      <c r="H23" s="7">
        <v>0.76259999999999994</v>
      </c>
      <c r="I23" s="7">
        <v>0.47970000000000002</v>
      </c>
      <c r="J23" s="7">
        <v>0.2757</v>
      </c>
      <c r="K23" s="4">
        <f>GEOMEAN(B23:J23)</f>
        <v>0.37621190181443109</v>
      </c>
    </row>
    <row r="26" spans="1:11" ht="18" x14ac:dyDescent="0.55000000000000004">
      <c r="A26" s="14" t="s">
        <v>6</v>
      </c>
      <c r="B26" s="15"/>
      <c r="C26" s="15"/>
      <c r="D26" s="15"/>
      <c r="E26" s="15"/>
      <c r="F26" s="15"/>
      <c r="G26" s="15"/>
      <c r="H26" s="15"/>
      <c r="I26" s="15"/>
      <c r="J26" s="16"/>
    </row>
    <row r="27" spans="1:11" ht="14.65" thickBot="1" x14ac:dyDescent="0.5">
      <c r="A27" s="2" t="s">
        <v>2</v>
      </c>
      <c r="B27" s="1">
        <v>1</v>
      </c>
      <c r="C27" s="1">
        <v>2</v>
      </c>
      <c r="D27" s="1">
        <v>3</v>
      </c>
      <c r="E27" s="1">
        <v>4</v>
      </c>
      <c r="F27" s="1">
        <v>5</v>
      </c>
      <c r="G27" s="1">
        <v>6</v>
      </c>
      <c r="H27" s="1">
        <v>7</v>
      </c>
      <c r="I27" s="1">
        <v>8</v>
      </c>
      <c r="J27" s="1">
        <v>9</v>
      </c>
      <c r="K27" s="5" t="s">
        <v>3</v>
      </c>
    </row>
    <row r="28" spans="1:11" x14ac:dyDescent="0.45">
      <c r="A28" s="3" t="s">
        <v>0</v>
      </c>
      <c r="B28" s="6">
        <v>0.42230000000000001</v>
      </c>
      <c r="C28" s="6">
        <v>0.43680000000000002</v>
      </c>
      <c r="D28" s="6">
        <v>0.1356</v>
      </c>
      <c r="E28" s="6">
        <v>0.37459999999999999</v>
      </c>
      <c r="F28" s="6">
        <v>0.55459999999999998</v>
      </c>
      <c r="G28" s="6">
        <v>0.29320000000000002</v>
      </c>
      <c r="H28" s="6">
        <v>0.85429999999999995</v>
      </c>
      <c r="I28" s="6">
        <v>0.30120000000000002</v>
      </c>
      <c r="J28" s="6">
        <v>0.4501</v>
      </c>
      <c r="K28" s="4">
        <f>GEOMEAN(B28:J28)</f>
        <v>0.38279040524905245</v>
      </c>
    </row>
    <row r="29" spans="1:11" ht="14.65" thickBot="1" x14ac:dyDescent="0.5">
      <c r="A29" s="2" t="s">
        <v>1</v>
      </c>
      <c r="B29" s="7">
        <v>0.26769999999999999</v>
      </c>
      <c r="C29" s="7">
        <v>0.27950000000000003</v>
      </c>
      <c r="D29" s="7">
        <v>7.2700000000000001E-2</v>
      </c>
      <c r="E29" s="7">
        <v>0.23050000000000001</v>
      </c>
      <c r="F29" s="7">
        <v>0.38369999999999999</v>
      </c>
      <c r="G29" s="7">
        <v>0.17180000000000001</v>
      </c>
      <c r="H29" s="7">
        <v>0.74560000000000004</v>
      </c>
      <c r="I29" s="7">
        <v>0.17730000000000001</v>
      </c>
      <c r="J29" s="7">
        <v>0.29039999999999999</v>
      </c>
      <c r="K29" s="4">
        <f>GEOMEAN(B29:J29)</f>
        <v>0.24493525672743321</v>
      </c>
    </row>
    <row r="33" spans="1:11" ht="18" x14ac:dyDescent="0.55000000000000004">
      <c r="A33" s="13" t="s">
        <v>7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1" ht="14.65" thickBot="1" x14ac:dyDescent="0.5">
      <c r="A34" s="2" t="s">
        <v>2</v>
      </c>
      <c r="B34" s="1">
        <v>1</v>
      </c>
      <c r="C34" s="1">
        <v>2</v>
      </c>
      <c r="D34" s="1">
        <v>3</v>
      </c>
      <c r="E34" s="1">
        <v>4</v>
      </c>
      <c r="F34" s="1">
        <v>5</v>
      </c>
      <c r="G34" s="1">
        <v>6</v>
      </c>
      <c r="H34" s="1">
        <v>7</v>
      </c>
      <c r="I34" s="1">
        <v>8</v>
      </c>
      <c r="J34" s="1">
        <v>9</v>
      </c>
      <c r="K34" s="5" t="s">
        <v>3</v>
      </c>
    </row>
    <row r="35" spans="1:11" x14ac:dyDescent="0.45">
      <c r="A35" s="3" t="s">
        <v>0</v>
      </c>
      <c r="B35" s="6">
        <v>0.15340000000000001</v>
      </c>
      <c r="C35" s="6">
        <v>0.26669999999999999</v>
      </c>
      <c r="D35" s="6">
        <v>0.14960000000000001</v>
      </c>
      <c r="E35" s="6">
        <v>0.29010000000000002</v>
      </c>
      <c r="F35" s="6">
        <v>0.30930000000000002</v>
      </c>
      <c r="G35" s="6">
        <v>0.19400000000000001</v>
      </c>
      <c r="H35" s="6">
        <v>0.4486</v>
      </c>
      <c r="I35" s="6">
        <v>0.26</v>
      </c>
      <c r="J35" s="6">
        <v>0.39579999999999999</v>
      </c>
      <c r="K35" s="4">
        <f>GEOMEAN(B35:J35)</f>
        <v>0.25715914475446489</v>
      </c>
    </row>
    <row r="36" spans="1:11" ht="14.65" thickBot="1" x14ac:dyDescent="0.5">
      <c r="A36" s="2" t="s">
        <v>1</v>
      </c>
      <c r="B36" s="7">
        <v>8.3099999999999993E-2</v>
      </c>
      <c r="C36" s="7">
        <v>0.15379999999999999</v>
      </c>
      <c r="D36" s="7">
        <v>8.0799999999999997E-2</v>
      </c>
      <c r="E36" s="7">
        <v>0.16969999999999999</v>
      </c>
      <c r="F36" s="7">
        <v>0.18290000000000001</v>
      </c>
      <c r="G36" s="7">
        <v>0.1074</v>
      </c>
      <c r="H36" s="7">
        <v>0.28910000000000002</v>
      </c>
      <c r="I36" s="7">
        <v>0.14940000000000001</v>
      </c>
      <c r="J36" s="7">
        <v>0.2467</v>
      </c>
      <c r="K36" s="4">
        <f>GEOMEAN(B36:J36)</f>
        <v>0.14921973531774105</v>
      </c>
    </row>
  </sheetData>
  <mergeCells count="7">
    <mergeCell ref="A1:K1"/>
    <mergeCell ref="A2:J2"/>
    <mergeCell ref="A14:J14"/>
    <mergeCell ref="A26:J26"/>
    <mergeCell ref="A33:J33"/>
    <mergeCell ref="A8:J8"/>
    <mergeCell ref="A20:J20"/>
  </mergeCells>
  <conditionalFormatting sqref="B4 B16 B28 B35">
    <cfRule type="top10" priority="4" rank="10"/>
  </conditionalFormatting>
  <conditionalFormatting sqref="B10">
    <cfRule type="top10" priority="2" rank="10"/>
  </conditionalFormatting>
  <conditionalFormatting sqref="B22">
    <cfRule type="top10" priority="1" rank="10"/>
  </conditionalFormatting>
  <conditionalFormatting sqref="M18:M23">
    <cfRule type="colorScale" priority="5">
      <colorScale>
        <cfvo type="min"/>
        <cfvo type="max"/>
        <color rgb="FFFF0000"/>
        <color rgb="FF92D050"/>
      </colorScale>
    </cfRule>
  </conditionalFormatting>
  <conditionalFormatting sqref="Q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Schleicher</dc:creator>
  <cp:lastModifiedBy>Florian Schleicher</cp:lastModifiedBy>
  <dcterms:created xsi:type="dcterms:W3CDTF">2026-06-02T08:36:35Z</dcterms:created>
  <dcterms:modified xsi:type="dcterms:W3CDTF">2026-06-09T07:59:18Z</dcterms:modified>
</cp:coreProperties>
</file>